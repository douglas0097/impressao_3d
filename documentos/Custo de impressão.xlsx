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bsil\Downloads\"/>
    </mc:Choice>
  </mc:AlternateContent>
  <xr:revisionPtr revIDLastSave="0" documentId="13_ncr:1_{977913BF-CB45-4665-8A84-4ECFF394ED7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Encomendas" sheetId="1" r:id="rId1"/>
    <sheet name="Filamentos" sheetId="2" r:id="rId2"/>
  </sheets>
  <definedNames>
    <definedName name="_xlnm._FilterDatabase" localSheetId="0" hidden="1">Encomendas!$A$1:$L$4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3" i="1"/>
  <c r="J2" i="1"/>
  <c r="H3" i="1"/>
  <c r="H2" i="1"/>
  <c r="F3" i="1"/>
  <c r="F2" i="1"/>
  <c r="E3" i="1" a="1"/>
  <c r="E3" i="1" s="1"/>
  <c r="E2" i="1" a="1"/>
  <c r="E2" i="1" s="1"/>
  <c r="G3" i="1" l="1"/>
  <c r="G2" i="1"/>
</calcChain>
</file>

<file path=xl/sharedStrings.xml><?xml version="1.0" encoding="utf-8"?>
<sst xmlns="http://schemas.openxmlformats.org/spreadsheetml/2006/main" count="41" uniqueCount="37">
  <si>
    <t>Nome da peça</t>
  </si>
  <si>
    <t>Quantidade de filamento (Gramas)</t>
  </si>
  <si>
    <t>Tempo em horas</t>
  </si>
  <si>
    <t>Tipo de filamento</t>
  </si>
  <si>
    <t>Custo de filamento</t>
  </si>
  <si>
    <t>Custo de tempo de impressão</t>
  </si>
  <si>
    <t>Custo por peça sem lucro</t>
  </si>
  <si>
    <t>Preço de venda indicado</t>
  </si>
  <si>
    <t>quantidade</t>
  </si>
  <si>
    <t>Preço de custo</t>
  </si>
  <si>
    <t>Comprador</t>
  </si>
  <si>
    <t>Link</t>
  </si>
  <si>
    <t>TCG GB case 105%</t>
  </si>
  <si>
    <t>PETG cinza claro</t>
  </si>
  <si>
    <t>Victor</t>
  </si>
  <si>
    <t>https://makerworld.com/en/models/828343-pokemon-tcg-deckbox-gameboy#profileId-772347</t>
  </si>
  <si>
    <t>TCG GB botões 105%</t>
  </si>
  <si>
    <t>PLA azul metalizado silk</t>
  </si>
  <si>
    <t>PLA outlet</t>
  </si>
  <si>
    <t>PLA lilas e preto v-silk</t>
  </si>
  <si>
    <t>PLA branco pérola silk</t>
  </si>
  <si>
    <t>PLA aluminio e azul silk</t>
  </si>
  <si>
    <t>PLA cinza claro basic outlet</t>
  </si>
  <si>
    <t>PLA Vermelho velvet</t>
  </si>
  <si>
    <t>PLA azul e preto silk</t>
  </si>
  <si>
    <t>PETG outlet</t>
  </si>
  <si>
    <t>PLA ametista e safira silk</t>
  </si>
  <si>
    <t>PLA Preto matte</t>
  </si>
  <si>
    <t>PLA branco matte</t>
  </si>
  <si>
    <t>PLA branco bambu lite</t>
  </si>
  <si>
    <t>Total</t>
  </si>
  <si>
    <t>Nome</t>
  </si>
  <si>
    <t>Preço</t>
  </si>
  <si>
    <t>Peso</t>
  </si>
  <si>
    <t>Temperatura</t>
  </si>
  <si>
    <t>PLA rosa bebe HS</t>
  </si>
  <si>
    <t>PLA amarelo basic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</si>
</sst>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2" fillId="2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1" xfId="0" applyFont="1" applyFill="1" applyBorder="1" applyAlignment="1">
      <alignment vertical="center"/>
    </xf>
    <xf numFmtId="2" fontId="1" fillId="0" borderId="1" xfId="0" applyNumberFormat="1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Encomendas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ilamento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róprios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_por_peça_impressa" displayName="Custo_por_peça_impressa" ref="A1:L4">
  <autoFilter ref="A1:L4" xr:uid="{00000000-0009-0000-0100-000001000000}"/>
  <tableColumns count="12">
    <tableColumn id="1" xr3:uid="{00000000-0010-0000-0000-000001000000}" name="Nome da peça"/>
    <tableColumn id="2" xr3:uid="{00000000-0010-0000-0000-000002000000}" name="Quantidade de filamento (Gramas)"/>
    <tableColumn id="3" xr3:uid="{00000000-0010-0000-0000-000003000000}" name="Tempo em horas"/>
    <tableColumn id="4" xr3:uid="{00000000-0010-0000-0000-000004000000}" name="Tipo de filamento"/>
    <tableColumn id="5" xr3:uid="{00000000-0010-0000-0000-000005000000}" name="Custo de filamento"/>
    <tableColumn id="6" xr3:uid="{00000000-0010-0000-0000-000006000000}" name="Custo de tempo de impressão"/>
    <tableColumn id="7" xr3:uid="{00000000-0010-0000-0000-000007000000}" name="Custo por peça sem lucro"/>
    <tableColumn id="8" xr3:uid="{00000000-0010-0000-0000-000008000000}" name="Preço de venda indicado"/>
    <tableColumn id="9" xr3:uid="{00000000-0010-0000-0000-000009000000}" name="quantidade"/>
    <tableColumn id="10" xr3:uid="{00000000-0010-0000-0000-00000A000000}" name="Preço de custo"/>
    <tableColumn id="11" xr3:uid="{00000000-0010-0000-0000-00000B000000}" name="Comprador"/>
    <tableColumn id="13" xr3:uid="{00000000-0010-0000-0000-00000D000000}" name="Link"/>
  </tableColumns>
  <tableStyleInfo name="Encom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lamentos" displayName="Filamentos" ref="A1:D19">
  <tableColumns count="4">
    <tableColumn id="1" xr3:uid="{00000000-0010-0000-0100-000001000000}" name="Nome"/>
    <tableColumn id="2" xr3:uid="{00000000-0010-0000-0100-000002000000}" name="Preço"/>
    <tableColumn id="3" xr3:uid="{00000000-0010-0000-0100-000003000000}" name="Peso"/>
    <tableColumn id="4" xr3:uid="{00000000-0010-0000-0100-000004000000}" name="Temperatura"/>
  </tableColumns>
  <tableStyleInfo name="Filam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akerworld.com/en/models/828343-pokemon-tcg-deckbox-gameboy" TargetMode="External"/><Relationship Id="rId1" Type="http://schemas.openxmlformats.org/officeDocument/2006/relationships/hyperlink" Target="https://makerworld.com/en/models/828343-pokemon-tcg-deckbox-gamebo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12.6328125" defaultRowHeight="15.75" customHeight="1" x14ac:dyDescent="0.25"/>
  <cols>
    <col min="1" max="1" width="19.1796875" bestFit="1" customWidth="1"/>
    <col min="2" max="2" width="31.1796875" bestFit="1" customWidth="1"/>
    <col min="3" max="3" width="12.453125" customWidth="1"/>
    <col min="4" max="4" width="21" bestFit="1" customWidth="1"/>
    <col min="5" max="5" width="18.08984375" bestFit="1" customWidth="1"/>
    <col min="6" max="6" width="27.54296875" bestFit="1" customWidth="1"/>
    <col min="7" max="7" width="24" bestFit="1" customWidth="1"/>
    <col min="8" max="8" width="22.90625" bestFit="1" customWidth="1"/>
    <col min="9" max="9" width="11.81640625" bestFit="1" customWidth="1"/>
    <col min="10" max="10" width="15.36328125" bestFit="1" customWidth="1"/>
    <col min="11" max="11" width="12.08984375" bestFit="1" customWidth="1"/>
    <col min="12" max="12" width="79" bestFit="1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t="22.5" customHeight="1" x14ac:dyDescent="0.25">
      <c r="A2" s="3" t="s">
        <v>12</v>
      </c>
      <c r="B2" s="3">
        <v>69</v>
      </c>
      <c r="C2" s="3">
        <v>4</v>
      </c>
      <c r="D2" s="3" t="s">
        <v>13</v>
      </c>
      <c r="E2" s="4">
        <f t="array" ref="E2">(INDEX(Filamentos!B:B, MATCH(D2, Filamentos!A:A, 0))/1000)*1.3*B2</f>
        <v>11.434059</v>
      </c>
      <c r="F2" s="4">
        <f>C2*3</f>
        <v>12</v>
      </c>
      <c r="G2" s="4">
        <f t="shared" ref="G2:G3" si="0">(E2+F2)</f>
        <v>23.434058999999998</v>
      </c>
      <c r="H2" s="5">
        <f>(ROUND((E2+F2)*1.4,2))</f>
        <v>32.81</v>
      </c>
      <c r="I2" s="6">
        <v>1</v>
      </c>
      <c r="J2" s="7">
        <f>E2+C2*0.5</f>
        <v>13.434059</v>
      </c>
      <c r="K2" s="3" t="s">
        <v>14</v>
      </c>
      <c r="L2" s="8" t="s">
        <v>15</v>
      </c>
    </row>
    <row r="3" spans="1:12" ht="22.5" customHeight="1" x14ac:dyDescent="0.25">
      <c r="A3" s="3" t="s">
        <v>16</v>
      </c>
      <c r="B3" s="3">
        <v>4.3</v>
      </c>
      <c r="C3" s="3">
        <v>0.5</v>
      </c>
      <c r="D3" s="3" t="s">
        <v>17</v>
      </c>
      <c r="E3" s="4">
        <f t="array" ref="E3">(INDEX(Filamentos!B:B, MATCH(D3, Filamentos!A:A, 0))/1000)*1.3*B3</f>
        <v>0.59488779999999997</v>
      </c>
      <c r="F3" s="4">
        <f>C3*3</f>
        <v>1.5</v>
      </c>
      <c r="G3" s="4">
        <f t="shared" si="0"/>
        <v>2.0948878</v>
      </c>
      <c r="H3" s="5">
        <f>(ROUND((E3+F3)*1.4,2))</f>
        <v>2.93</v>
      </c>
      <c r="I3" s="6">
        <v>1</v>
      </c>
      <c r="J3" s="7">
        <f>E3+C3*0.5</f>
        <v>0.84488779999999997</v>
      </c>
      <c r="K3" s="3" t="s">
        <v>14</v>
      </c>
      <c r="L3" s="8" t="s">
        <v>15</v>
      </c>
    </row>
    <row r="4" spans="1:12" ht="22.5" customHeight="1" x14ac:dyDescent="0.25">
      <c r="A4" s="10" t="s">
        <v>30</v>
      </c>
      <c r="B4" s="12"/>
      <c r="C4" s="12"/>
      <c r="D4" s="12"/>
      <c r="E4" s="13"/>
      <c r="F4" s="13"/>
      <c r="G4" s="13"/>
      <c r="H4" s="14">
        <f>SUM(H2:H3)</f>
        <v>35.74</v>
      </c>
      <c r="I4" s="15"/>
      <c r="J4" s="14"/>
      <c r="K4" s="12"/>
      <c r="L4" s="3"/>
    </row>
  </sheetData>
  <dataValidations count="2">
    <dataValidation type="custom" allowBlank="1" showDropDown="1" sqref="H2:I4 E2:F4" xr:uid="{00000000-0002-0000-0000-000000000000}">
      <formula1>AND(ISNUMBER(E2),(NOT(OR(NOT(ISERROR(DATEVALUE(E2))), AND(ISNUMBER(E2), LEFT(CELL("format", E2))="D")))))</formula1>
    </dataValidation>
    <dataValidation type="list" allowBlank="1" sqref="D2:D4" xr:uid="{00000000-0002-0000-0000-000001000000}">
      <formula1>#REF!</formula1>
    </dataValidation>
  </dataValidations>
  <hyperlinks>
    <hyperlink ref="L2" r:id="rId1" location="profileId-772347" xr:uid="{00000000-0004-0000-0000-000000000000}"/>
    <hyperlink ref="L3" r:id="rId2" location="profileId-772347" xr:uid="{00000000-0004-0000-0000-000001000000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9"/>
  <sheetViews>
    <sheetView workbookViewId="0">
      <pane ySplit="1" topLeftCell="A2" activePane="bottomLeft" state="frozen"/>
      <selection pane="bottomLeft" activeCell="H8" sqref="H8"/>
    </sheetView>
  </sheetViews>
  <sheetFormatPr defaultColWidth="12.6328125" defaultRowHeight="15.75" customHeight="1" x14ac:dyDescent="0.25"/>
  <cols>
    <col min="1" max="1" width="25.6328125" customWidth="1"/>
    <col min="2" max="4" width="22.6328125" customWidth="1"/>
  </cols>
  <sheetData>
    <row r="1" spans="1:4" ht="22.5" customHeight="1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ht="22.5" customHeight="1" x14ac:dyDescent="0.25">
      <c r="A2" s="9" t="s">
        <v>20</v>
      </c>
      <c r="B2" s="11">
        <v>115.68</v>
      </c>
      <c r="C2" s="9">
        <v>1000</v>
      </c>
      <c r="D2" s="9">
        <v>220</v>
      </c>
    </row>
    <row r="3" spans="1:4" ht="22.5" customHeight="1" x14ac:dyDescent="0.25">
      <c r="A3" s="9" t="s">
        <v>13</v>
      </c>
      <c r="B3" s="11">
        <v>127.47</v>
      </c>
      <c r="C3" s="9">
        <v>1000</v>
      </c>
      <c r="D3" s="9">
        <v>245</v>
      </c>
    </row>
    <row r="4" spans="1:4" ht="22.5" customHeight="1" x14ac:dyDescent="0.25">
      <c r="A4" s="9" t="s">
        <v>21</v>
      </c>
      <c r="B4" s="11">
        <v>106.42</v>
      </c>
      <c r="C4" s="9">
        <v>1000</v>
      </c>
      <c r="D4" s="9">
        <v>230</v>
      </c>
    </row>
    <row r="5" spans="1:4" ht="22.5" customHeight="1" x14ac:dyDescent="0.25">
      <c r="A5" s="9" t="s">
        <v>24</v>
      </c>
      <c r="B5" s="11">
        <v>106.42</v>
      </c>
      <c r="C5" s="9">
        <v>1000</v>
      </c>
      <c r="D5" s="9">
        <v>230</v>
      </c>
    </row>
    <row r="6" spans="1:4" ht="22.5" customHeight="1" x14ac:dyDescent="0.25">
      <c r="A6" s="9" t="s">
        <v>17</v>
      </c>
      <c r="B6" s="11">
        <v>106.42</v>
      </c>
      <c r="C6" s="9">
        <v>1000</v>
      </c>
      <c r="D6" s="9">
        <v>230</v>
      </c>
    </row>
    <row r="7" spans="1:4" ht="22.5" customHeight="1" x14ac:dyDescent="0.25">
      <c r="A7" s="9" t="s">
        <v>26</v>
      </c>
      <c r="B7" s="11">
        <v>106.42</v>
      </c>
      <c r="C7" s="9">
        <v>1000</v>
      </c>
      <c r="D7" s="9">
        <v>230</v>
      </c>
    </row>
    <row r="8" spans="1:4" ht="22.5" customHeight="1" x14ac:dyDescent="0.25">
      <c r="A8" s="9" t="s">
        <v>35</v>
      </c>
      <c r="B8" s="11">
        <v>106.42</v>
      </c>
      <c r="C8" s="9">
        <v>1000</v>
      </c>
      <c r="D8" s="9">
        <v>220</v>
      </c>
    </row>
    <row r="9" spans="1:4" ht="22.5" customHeight="1" x14ac:dyDescent="0.25">
      <c r="A9" s="9" t="s">
        <v>22</v>
      </c>
      <c r="B9" s="11">
        <v>80</v>
      </c>
      <c r="C9" s="9">
        <v>1000</v>
      </c>
      <c r="D9" s="9">
        <v>220</v>
      </c>
    </row>
    <row r="10" spans="1:4" ht="22.5" customHeight="1" x14ac:dyDescent="0.25">
      <c r="A10" s="9" t="s">
        <v>36</v>
      </c>
      <c r="B10" s="11">
        <v>80</v>
      </c>
      <c r="C10" s="9">
        <v>1000</v>
      </c>
      <c r="D10" s="9">
        <v>220</v>
      </c>
    </row>
    <row r="11" spans="1:4" ht="22.5" customHeight="1" x14ac:dyDescent="0.25">
      <c r="A11" s="9" t="s">
        <v>23</v>
      </c>
      <c r="B11" s="11">
        <v>116.8</v>
      </c>
      <c r="C11" s="9">
        <v>1000</v>
      </c>
      <c r="D11" s="9">
        <v>220</v>
      </c>
    </row>
    <row r="12" spans="1:4" ht="22.5" customHeight="1" x14ac:dyDescent="0.25">
      <c r="A12" s="9" t="s">
        <v>19</v>
      </c>
      <c r="B12" s="11">
        <v>113.22</v>
      </c>
      <c r="C12" s="9">
        <v>1000</v>
      </c>
      <c r="D12" s="9">
        <v>230</v>
      </c>
    </row>
    <row r="13" spans="1:4" ht="22.5" customHeight="1" x14ac:dyDescent="0.25">
      <c r="A13" s="9" t="s">
        <v>18</v>
      </c>
      <c r="B13" s="11">
        <v>80</v>
      </c>
      <c r="C13" s="9">
        <v>1000</v>
      </c>
      <c r="D13" s="9">
        <v>220</v>
      </c>
    </row>
    <row r="14" spans="1:4" ht="22.5" customHeight="1" x14ac:dyDescent="0.25">
      <c r="A14" s="9" t="s">
        <v>25</v>
      </c>
      <c r="B14" s="11">
        <v>80.5</v>
      </c>
      <c r="C14" s="9">
        <v>1000</v>
      </c>
      <c r="D14" s="9">
        <v>245</v>
      </c>
    </row>
    <row r="15" spans="1:4" ht="22.5" customHeight="1" x14ac:dyDescent="0.25">
      <c r="A15" s="9" t="s">
        <v>29</v>
      </c>
      <c r="B15" s="11">
        <v>125</v>
      </c>
      <c r="C15" s="9">
        <v>1000</v>
      </c>
      <c r="D15" s="9">
        <v>210</v>
      </c>
    </row>
    <row r="16" spans="1:4" ht="22.5" customHeight="1" x14ac:dyDescent="0.25">
      <c r="A16" s="9" t="s">
        <v>28</v>
      </c>
      <c r="B16" s="11">
        <v>123</v>
      </c>
      <c r="C16" s="9">
        <v>1000</v>
      </c>
      <c r="D16" s="9">
        <v>210</v>
      </c>
    </row>
    <row r="17" spans="1:4" ht="22.5" customHeight="1" x14ac:dyDescent="0.25">
      <c r="A17" s="9" t="s">
        <v>27</v>
      </c>
      <c r="B17" s="11">
        <v>123</v>
      </c>
      <c r="C17" s="9">
        <v>1000</v>
      </c>
      <c r="D17" s="9">
        <v>215</v>
      </c>
    </row>
    <row r="18" spans="1:4" ht="22.5" customHeight="1" x14ac:dyDescent="0.25">
      <c r="A18" s="9"/>
      <c r="B18" s="11"/>
      <c r="C18" s="9"/>
      <c r="D18" s="9"/>
    </row>
    <row r="19" spans="1:4" ht="22.5" customHeight="1" x14ac:dyDescent="0.25">
      <c r="A19" s="9"/>
      <c r="B19" s="11"/>
      <c r="C19" s="9"/>
      <c r="D19" s="9"/>
    </row>
  </sheetData>
  <dataValidations count="1">
    <dataValidation type="custom" allowBlank="1" showDropDown="1" sqref="B2:B19" xr:uid="{00000000-0002-0000-0100-000000000000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Encomendas</vt:lpstr>
      <vt:lpstr>Filamentos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Batista Silva</cp:lastModifiedBy>
  <dcterms:modified xsi:type="dcterms:W3CDTF">2026-05-06T18:06:58Z</dcterms:modified>
</cp:coreProperties>
</file>